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 Calc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<sst xmlns="http://schemas.openxmlformats.org/spreadsheetml/2006/main" count="23" uniqueCount="23">
  <si>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Employee Payroll - Salary Calculation</t>
  </si>
  <si>
    <t xml:space="preserve">Assumptions (percent of basic salary)</t>
  </si>
  <si>
    <t xml:space="preserve">HRA rate</t>
  </si>
  <si>
    <t xml:space="preserve">Rates used by the payroll program</t>
  </si>
  <si>
    <t xml:space="preserve">DA rate</t>
  </si>
  <si>
    <t xml:space="preserve">PF rate</t>
  </si>
  <si>
    <t xml:space="preserve">Item</t>
  </si>
  <si>
    <t xml:space="preserve">Calculation</t>
  </si>
  <si>
    <t xml:space="preserve">Umang</t>
  </si>
  <si>
    <t xml:space="preserve">Kajal</t>
  </si>
  <si>
    <t xml:space="preserve">Basic salary</t>
  </si>
  <si>
    <t xml:space="preserve">Entered by user</t>
  </si>
  <si>
    <t xml:space="preserve">HRA</t>
  </si>
  <si>
    <t xml:space="preserve">Basic x HRA rate</t>
  </si>
  <si>
    <t xml:space="preserve">DA</t>
  </si>
  <si>
    <t xml:space="preserve">Basic x DA rate</t>
  </si>
  <si>
    <t xml:space="preserve">Gross salary</t>
  </si>
  <si>
    <t xml:space="preserve">Basic + HRA + DA</t>
  </si>
  <si>
    <t xml:space="preserve">PF deduction</t>
  </si>
  <si>
    <t xml:space="preserve">Basic x PF rate</t>
  </si>
  <si>
    <t xml:space="preserve">Net salary</t>
  </si>
  <si>
    <t xml:space="preserve">Gross - PF</t>
  </si>
  <si>
    <t xml:space="preserve">Notes: Blue cells are inputs you can change. Basic salaries (25000 and 30000) were entered by the user; rates are from the payroll program.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</si>
</sst>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0.2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0.1</v>
      </c>
    </row>
    <row r="6" customFormat="false" ht="15" hidden="false" customHeight="false" outlineLevel="0" collapsed="false">
      <c r="A6" s="3" t="s">
        <v>5</v>
      </c>
      <c r="B6" s="4" t="n">
        <v>0.12</v>
      </c>
    </row>
    <row r="8" customFormat="false" ht="15" hidden="false" customHeight="false" outlineLevel="0" collapsed="false">
      <c r="A8" s="6" t="s">
        <v>6</v>
      </c>
      <c r="B8" s="6" t="s">
        <v>7</v>
      </c>
      <c r="C8" s="7" t="s">
        <v>8</v>
      </c>
      <c r="D8" s="7" t="s">
        <v>9</v>
      </c>
    </row>
    <row r="9" customFormat="false" ht="15" hidden="false" customHeight="false" outlineLevel="0" collapsed="false">
      <c r="A9" s="8" t="s">
        <v>10</v>
      </c>
      <c r="B9" s="8" t="s">
        <v>11</v>
      </c>
      <c r="C9" s="9" t="n">
        <v>25000</v>
      </c>
      <c r="D9" s="9" t="n">
        <v>30000</v>
      </c>
    </row>
    <row r="10" customFormat="false" ht="15" hidden="false" customHeight="false" outlineLevel="0" collapsed="false">
      <c r="A10" s="8" t="s">
        <v>12</v>
      </c>
      <c r="B10" s="8" t="s">
        <v>13</v>
      </c>
      <c r="C10" s="10" t="n">
        <f aca="false">C9*$B$4</f>
        <v>5000</v>
      </c>
      <c r="D10" s="10" t="n">
        <f aca="false">D9*$B$4</f>
        <v>6000</v>
      </c>
    </row>
    <row r="11" customFormat="false" ht="15" hidden="false" customHeight="false" outlineLevel="0" collapsed="false">
      <c r="A11" s="8" t="s">
        <v>14</v>
      </c>
      <c r="B11" s="8" t="s">
        <v>15</v>
      </c>
      <c r="C11" s="10" t="n">
        <f aca="false">C9*$B$5</f>
        <v>2500</v>
      </c>
      <c r="D11" s="10" t="n">
        <f aca="false">D9*$B$5</f>
        <v>3000</v>
      </c>
    </row>
    <row r="12" customFormat="false" ht="15" hidden="false" customHeight="false" outlineLevel="0" collapsed="false">
      <c r="A12" s="11" t="s">
        <v>16</v>
      </c>
      <c r="B12" s="11" t="s">
        <v>17</v>
      </c>
      <c r="C12" s="12" t="n">
        <f aca="false">SUM(C9:C11)</f>
        <v>32500</v>
      </c>
      <c r="D12" s="12" t="n">
        <f aca="false">SUM(D9:D11)</f>
        <v>39000</v>
      </c>
    </row>
    <row r="13" customFormat="false" ht="15" hidden="false" customHeight="false" outlineLevel="0" collapsed="false">
      <c r="A13" s="8" t="s">
        <v>18</v>
      </c>
      <c r="B13" s="8" t="s">
        <v>19</v>
      </c>
      <c r="C13" s="10" t="n">
        <f aca="false">C9*$B$6</f>
        <v>3000</v>
      </c>
      <c r="D13" s="10" t="n">
        <f aca="false">D9*$B$6</f>
        <v>3600</v>
      </c>
    </row>
    <row r="14" customFormat="false" ht="15" hidden="false" customHeight="false" outlineLevel="0" collapsed="false">
      <c r="A14" s="11" t="s">
        <v>20</v>
      </c>
      <c r="B14" s="11" t="s">
        <v>21</v>
      </c>
      <c r="C14" s="12" t="n">
        <f aca="false">C12-C13</f>
        <v>29500</v>
      </c>
      <c r="D14" s="12" t="n">
        <f aca="false">D12-D13</f>
        <v>35400</v>
      </c>
    </row>
    <row r="16" customFormat="false" ht="15" hidden="false" customHeight="false" outlineLevel="0" collapsed="false">
      <c r="A16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2026-10-02T09:57:42Z</dcterms:created>
  <dc:creator>openpyxl</dc:creator>
  <dc:description/>
  <dc:language>en-US</dc:language>
  <cp:lastModifiedBy/>
  <dcterms:modified xsi:type="dcterms:W3CDTF">2026-10-02T09:57:42Z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